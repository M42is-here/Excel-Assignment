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21"/>
  <workbookPr defaultThemeVersion="166925"/>
  <xr:revisionPtr revIDLastSave="0" documentId="8_{B670F9C7-7F00-42A0-89B9-A4CC9D4C8060}" xr6:coauthVersionLast="47" xr6:coauthVersionMax="47" xr10:uidLastSave="{00000000-0000-0000-0000-000000000000}"/>
  <bookViews>
    <workbookView xWindow="240" yWindow="105" windowWidth="14805" windowHeight="8010" firstSheet="2" activeTab="2" xr2:uid="{00000000-000D-0000-FFFF-FFFF00000000}"/>
  </bookViews>
  <sheets>
    <sheet name="Instructions" sheetId="1" r:id="rId1"/>
    <sheet name="Dataset" sheetId="2" r:id="rId2"/>
    <sheet name="Answer Sheet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E35" i="5" l="1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J2" i="5" a="1"/>
  <c r="J2" i="5" s="1"/>
  <c r="I2" i="5" a="1"/>
  <c r="I2" i="5" s="1"/>
  <c r="H2" i="5" a="1"/>
  <c r="H2" i="5" s="1"/>
  <c r="M20" i="5"/>
  <c r="M19" i="5"/>
  <c r="M11" i="5"/>
  <c r="M10" i="5"/>
  <c r="M6" i="5"/>
  <c r="M5" i="5"/>
  <c r="M4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<sst xmlns="http://schemas.openxmlformats.org/spreadsheetml/2006/main" count="324" uniqueCount="133">
  <si>
    <t>Perform the following in the dataset from the 'Dataset' sheet.</t>
  </si>
  <si>
    <t>1) Sum, Count, Average:</t>
  </si>
  <si>
    <t>• What is the total price of all products in the dataset?</t>
  </si>
  <si>
    <t>• How many products are there in the dataset?</t>
  </si>
  <si>
    <t>• Calculate the average price of the products.</t>
  </si>
  <si>
    <t>2) Min and Max:</t>
  </si>
  <si>
    <t>• Determine the minimum price among all products.</t>
  </si>
  <si>
    <t>• Find the maximum price among all products.</t>
  </si>
  <si>
    <t>3) IF Function:</t>
  </si>
  <si>
    <t>• Using an IF function, create a new column named Price Range to categorize products with a price greater than or equal to $500 as 'High Price' and others as 'Standard Price'.</t>
  </si>
  <si>
    <t>4) SUMIF and COUNTIF:</t>
  </si>
  <si>
    <t>• Calculate the total price for products in the 'Electronics' category using the SUMIF function.</t>
  </si>
  <si>
    <t>• Determine the count of products with a price less than $100 using the COUNTIF function.</t>
  </si>
  <si>
    <t>5) Text Formatting - LEFT, RIGHT, MID:</t>
  </si>
  <si>
    <t>• Create a new column named Day with the first 2 characters of each 'Product ID' using the LEFT function.</t>
  </si>
  <si>
    <t>• Create a new column named Country Code by extracting the last 2 characters from the 'Product ID' column using the RIGHT function.</t>
  </si>
  <si>
    <t>• Create a new column named Month by extracting 4th to 6th characters from the 'Product ID' column using the MID function.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</si>
  <si>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</si>
  <si>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</si>
  <si>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</si>
  <si>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</si>
  <si>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</si>
  <si>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</si>
  <si>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</si>
  <si>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</si>
  <si>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</si>
  <si>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</si>
  <si>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</si>
  <si>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</si>
  <si>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</si>
  <si>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</si>
  <si>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</si>
  <si>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</si>
  <si>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</si>
  <si>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</si>
  <si>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</si>
  <si>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</si>
  <si>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</si>
  <si>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</si>
  <si>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</si>
  <si>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</si>
  <si>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</si>
  <si>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</si>
  <si>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</si>
  <si>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</si>
  <si>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</si>
  <si>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</si>
  <si>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</si>
  <si>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</si>
  <si>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</si>
  <si>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</si>
  <si>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</si>
  <si>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</si>
  <si>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</si>
  <si>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</si>
  <si>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</si>
  <si>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</si>
  <si>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</si>
  <si>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</si>
  <si>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</si>
  <si>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</si>
  <si>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</si>
  <si>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</si>
  <si>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</si>
  <si>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</si>
  <si>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</si>
  <si>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</si>
  <si>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</si>
  <si>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</si>
  <si>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</si>
  <si>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</si>
  <si>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</si>
  <si>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</si>
  <si>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</si>
  <si>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</si>
  <si>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</si>
  <si>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</si>
  <si>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</si>
  <si>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</si>
  <si>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</si>
  <si>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</si>
  <si>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</si>
  <si>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</si>
  <si>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</si>
  <si>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</si>
  <si>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</si>
  <si>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</si>
  <si>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</si>
  <si>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</si>
  <si>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</si>
  <si>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</si>
  <si>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</si>
  <si>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</si>
  <si>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</si>
  <si>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</si>
  <si>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</si>
  <si>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</si>
  <si>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</si>
  <si>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</si>
  <si>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</si>
  <si>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</si>
  <si>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</si>
  <si>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</si>
  <si>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</si>
  <si>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</si>
  <si>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</si>
  <si>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</si>
  <si>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</si>
  <si>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</si>
  <si>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</si>
  <si>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Price Range</t>
  </si>
  <si>
    <t>Day</t>
  </si>
  <si>
    <t>Country</t>
  </si>
  <si>
    <t>Month</t>
  </si>
  <si>
    <t>Question 1</t>
  </si>
  <si>
    <t>Sum, Count, Average</t>
  </si>
  <si>
    <t>Total Price</t>
  </si>
  <si>
    <t>No of Products</t>
  </si>
  <si>
    <t>Average Product Price</t>
  </si>
  <si>
    <t>Question 2</t>
  </si>
  <si>
    <t>Min and Max</t>
  </si>
  <si>
    <t>Minimum price</t>
  </si>
  <si>
    <t>Maximum price</t>
  </si>
  <si>
    <t>Question 3</t>
  </si>
  <si>
    <t>Add a colum / Using IF function</t>
  </si>
  <si>
    <t>Collum "E" is answer</t>
  </si>
  <si>
    <t>Question 4</t>
  </si>
  <si>
    <t>Sumif and Countif</t>
  </si>
  <si>
    <t>Total price for Electronics</t>
  </si>
  <si>
    <t>Product with a price less than 100</t>
  </si>
  <si>
    <t>Question 5</t>
  </si>
  <si>
    <t>Text Formatting : Left, Right, Mid</t>
  </si>
  <si>
    <t>Collum "G,H,I" is answers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</si>
</sst>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</font>
    <font>
      <sz val="11"/>
      <color theme="1"/>
      <name val="Times New Roman"/>
    </font>
    <font>
      <b/>
      <sz val="11"/>
      <color theme="0"/>
      <name val="Times New Roman"/>
    </font>
  </fonts>
  <fills count="6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0" fontId="6" fillId="0" borderId="0" xfId="0" applyFont="1"/>
    <xf numFmtId="0" fontId="6" fillId="3" borderId="0" xfId="0" applyFont="1" applyFill="1"/>
    <xf numFmtId="0" fontId="9" fillId="0" borderId="2" xfId="0" applyFont="1" applyBorder="1"/>
    <xf numFmtId="0" fontId="9" fillId="0" borderId="4" xfId="0" applyFont="1" applyBorder="1"/>
    <xf numFmtId="0" fontId="8" fillId="5" borderId="1" xfId="0" applyFont="1" applyFill="1" applyBorder="1"/>
    <xf numFmtId="0" fontId="8" fillId="5" borderId="3" xfId="0" applyFont="1" applyFill="1" applyBorder="1"/>
    <xf numFmtId="0" fontId="10" fillId="4" borderId="7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8" fillId="5" borderId="5" xfId="0" applyFont="1" applyFill="1" applyBorder="1" applyAlignment="1">
      <alignment horizontal="center"/>
    </xf>
    <xf numFmtId="0" fontId="8" fillId="5" borderId="6" xfId="0" applyFont="1" applyFill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"/>
  <sheetViews>
    <sheetView workbookViewId="0">
      <selection activeCell="H5" sqref="H5"/>
    </sheetView>
  </sheetViews>
  <sheetFormatPr defaultRowHeight="15"/>
  <sheetData>
    <row r="1" spans="1:5">
      <c r="A1" s="23" t="s">
        <v>0</v>
      </c>
      <c r="B1" s="23"/>
      <c r="C1" s="23"/>
      <c r="D1" s="23"/>
      <c r="E1" s="23"/>
    </row>
    <row r="3" spans="1:5" ht="15.75">
      <c r="B3" s="24" t="s">
        <v>1</v>
      </c>
      <c r="C3" s="24"/>
      <c r="D3" s="24"/>
    </row>
    <row r="4" spans="1:5" ht="15.75">
      <c r="B4" s="1"/>
      <c r="C4" s="2" t="s">
        <v>2</v>
      </c>
    </row>
    <row r="5" spans="1:5" ht="15.75">
      <c r="B5" s="1"/>
      <c r="C5" s="2" t="s">
        <v>3</v>
      </c>
    </row>
    <row r="6" spans="1:5" ht="15.75">
      <c r="B6" s="1"/>
      <c r="C6" s="2" t="s">
        <v>4</v>
      </c>
    </row>
    <row r="7" spans="1:5">
      <c r="B7" s="3"/>
    </row>
    <row r="8" spans="1:5" ht="15.75">
      <c r="B8" s="1" t="s">
        <v>5</v>
      </c>
    </row>
    <row r="9" spans="1:5" ht="15.75">
      <c r="C9" s="2" t="s">
        <v>6</v>
      </c>
    </row>
    <row r="10" spans="1:5" ht="15.75">
      <c r="C10" s="2" t="s">
        <v>7</v>
      </c>
    </row>
    <row r="11" spans="1:5">
      <c r="B11" s="3"/>
    </row>
    <row r="12" spans="1:5" ht="15.75">
      <c r="B12" s="1" t="s">
        <v>8</v>
      </c>
    </row>
    <row r="13" spans="1:5" ht="15.75">
      <c r="C13" s="2" t="s">
        <v>9</v>
      </c>
    </row>
    <row r="14" spans="1:5">
      <c r="B14" s="3"/>
    </row>
    <row r="15" spans="1:5" ht="15.75">
      <c r="B15" s="1" t="s">
        <v>10</v>
      </c>
    </row>
    <row r="16" spans="1:5" ht="15.75">
      <c r="C16" s="2" t="s">
        <v>11</v>
      </c>
    </row>
    <row r="17" spans="2:3" ht="15.75">
      <c r="C17" s="2" t="s">
        <v>12</v>
      </c>
    </row>
    <row r="18" spans="2:3">
      <c r="B18" s="3"/>
    </row>
    <row r="19" spans="2:3" ht="15.75">
      <c r="B19" s="1" t="s">
        <v>13</v>
      </c>
    </row>
    <row r="20" spans="2:3" ht="15.75">
      <c r="C20" s="2" t="s">
        <v>14</v>
      </c>
    </row>
    <row r="21" spans="2:3" ht="15.75">
      <c r="C21" s="2" t="s">
        <v>15</v>
      </c>
    </row>
    <row r="22" spans="2:3" ht="15.75">
      <c r="C22" s="2" t="s">
        <v>16</v>
      </c>
    </row>
    <row r="23" spans="2:3">
      <c r="B23" s="3"/>
    </row>
  </sheetData>
  <mergeCells count="2">
    <mergeCell ref="A1:E1"/>
    <mergeCell ref="B3:D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614FC-68FA-4C9E-81D6-465E26B11FCA}">
  <dimension ref="A1:F35"/>
  <sheetViews>
    <sheetView workbookViewId="0">
      <selection activeCell="M10" sqref="M10"/>
    </sheetView>
  </sheetViews>
  <sheetFormatPr defaultRowHeight="15"/>
  <cols>
    <col min="1" max="1" width="11.140625" bestFit="1" customWidth="1"/>
    <col min="2" max="2" width="14.140625" bestFit="1" customWidth="1"/>
    <col min="3" max="3" width="12.140625" bestFit="1" customWidth="1"/>
    <col min="4" max="4" width="8.42578125" bestFit="1" customWidth="1"/>
    <col min="6" max="6" width="11.140625" bestFit="1" customWidth="1"/>
  </cols>
  <sheetData>
    <row r="1" spans="1:6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</row>
    <row r="2" spans="1:6">
      <c r="A2" s="5" t="s">
        <v>23</v>
      </c>
      <c r="B2" s="5" t="s">
        <v>24</v>
      </c>
      <c r="C2" s="5" t="s">
        <v>25</v>
      </c>
      <c r="D2" s="5">
        <v>1000</v>
      </c>
      <c r="E2" s="5">
        <v>30</v>
      </c>
      <c r="F2" s="5" t="s">
        <v>26</v>
      </c>
    </row>
    <row r="3" spans="1:6">
      <c r="A3" s="6" t="s">
        <v>27</v>
      </c>
      <c r="B3" s="6" t="s">
        <v>28</v>
      </c>
      <c r="C3" s="6" t="s">
        <v>29</v>
      </c>
      <c r="D3" s="6">
        <v>80</v>
      </c>
      <c r="E3" s="6">
        <v>15</v>
      </c>
      <c r="F3" s="6" t="s">
        <v>30</v>
      </c>
    </row>
    <row r="4" spans="1:6">
      <c r="A4" s="5" t="s">
        <v>31</v>
      </c>
      <c r="B4" s="5" t="s">
        <v>32</v>
      </c>
      <c r="C4" s="5" t="s">
        <v>33</v>
      </c>
      <c r="D4" s="5">
        <v>130</v>
      </c>
      <c r="E4" s="5">
        <v>40</v>
      </c>
      <c r="F4" s="5" t="s">
        <v>34</v>
      </c>
    </row>
    <row r="5" spans="1:6">
      <c r="A5" s="6" t="s">
        <v>35</v>
      </c>
      <c r="B5" s="6" t="s">
        <v>36</v>
      </c>
      <c r="C5" s="6" t="s">
        <v>37</v>
      </c>
      <c r="D5" s="6">
        <v>900</v>
      </c>
      <c r="E5" s="6">
        <v>25</v>
      </c>
      <c r="F5" s="6" t="s">
        <v>26</v>
      </c>
    </row>
    <row r="6" spans="1:6">
      <c r="A6" s="5" t="s">
        <v>38</v>
      </c>
      <c r="B6" s="5" t="s">
        <v>39</v>
      </c>
      <c r="C6" s="5" t="s">
        <v>40</v>
      </c>
      <c r="D6" s="5">
        <v>70</v>
      </c>
      <c r="E6" s="5">
        <v>20</v>
      </c>
      <c r="F6" s="5" t="s">
        <v>41</v>
      </c>
    </row>
    <row r="7" spans="1:6">
      <c r="A7" s="6" t="s">
        <v>42</v>
      </c>
      <c r="B7" s="6" t="s">
        <v>43</v>
      </c>
      <c r="C7" s="6" t="s">
        <v>44</v>
      </c>
      <c r="D7" s="6">
        <v>200</v>
      </c>
      <c r="E7" s="6">
        <v>45</v>
      </c>
      <c r="F7" s="6" t="s">
        <v>26</v>
      </c>
    </row>
    <row r="8" spans="1:6">
      <c r="A8" s="5" t="s">
        <v>45</v>
      </c>
      <c r="B8" s="5" t="s">
        <v>46</v>
      </c>
      <c r="C8" s="5" t="s">
        <v>47</v>
      </c>
      <c r="D8" s="5">
        <v>30</v>
      </c>
      <c r="E8" s="5">
        <v>5</v>
      </c>
      <c r="F8" s="5" t="s">
        <v>30</v>
      </c>
    </row>
    <row r="9" spans="1:6">
      <c r="A9" s="6" t="s">
        <v>48</v>
      </c>
      <c r="B9" s="6" t="s">
        <v>49</v>
      </c>
      <c r="C9" s="6" t="s">
        <v>50</v>
      </c>
      <c r="D9" s="6">
        <v>90</v>
      </c>
      <c r="E9" s="6">
        <v>35</v>
      </c>
      <c r="F9" s="6" t="s">
        <v>34</v>
      </c>
    </row>
    <row r="10" spans="1:6">
      <c r="A10" s="5" t="s">
        <v>51</v>
      </c>
      <c r="B10" s="5" t="s">
        <v>52</v>
      </c>
      <c r="C10" s="5" t="s">
        <v>53</v>
      </c>
      <c r="D10" s="5">
        <v>500</v>
      </c>
      <c r="E10" s="5">
        <v>50</v>
      </c>
      <c r="F10" s="5" t="s">
        <v>26</v>
      </c>
    </row>
    <row r="11" spans="1:6">
      <c r="A11" s="6" t="s">
        <v>54</v>
      </c>
      <c r="B11" s="6" t="s">
        <v>55</v>
      </c>
      <c r="C11" s="6" t="s">
        <v>56</v>
      </c>
      <c r="D11" s="6">
        <v>130</v>
      </c>
      <c r="E11" s="6">
        <v>10</v>
      </c>
      <c r="F11" s="6" t="s">
        <v>41</v>
      </c>
    </row>
    <row r="12" spans="1:6">
      <c r="A12" s="5" t="s">
        <v>57</v>
      </c>
      <c r="B12" s="5" t="s">
        <v>24</v>
      </c>
      <c r="C12" s="5" t="s">
        <v>58</v>
      </c>
      <c r="D12" s="5">
        <v>950</v>
      </c>
      <c r="E12" s="5">
        <v>25</v>
      </c>
      <c r="F12" s="5" t="s">
        <v>26</v>
      </c>
    </row>
    <row r="13" spans="1:6">
      <c r="A13" s="6" t="s">
        <v>59</v>
      </c>
      <c r="B13" s="6" t="s">
        <v>28</v>
      </c>
      <c r="C13" s="6" t="s">
        <v>47</v>
      </c>
      <c r="D13" s="6">
        <v>90</v>
      </c>
      <c r="E13" s="6">
        <v>40</v>
      </c>
      <c r="F13" s="6" t="s">
        <v>30</v>
      </c>
    </row>
    <row r="14" spans="1:6">
      <c r="A14" s="5" t="s">
        <v>60</v>
      </c>
      <c r="B14" s="5" t="s">
        <v>32</v>
      </c>
      <c r="C14" s="5" t="s">
        <v>61</v>
      </c>
      <c r="D14" s="5">
        <v>120</v>
      </c>
      <c r="E14" s="5">
        <v>35</v>
      </c>
      <c r="F14" s="5" t="s">
        <v>34</v>
      </c>
    </row>
    <row r="15" spans="1:6">
      <c r="A15" s="6" t="s">
        <v>62</v>
      </c>
      <c r="B15" s="6" t="s">
        <v>63</v>
      </c>
      <c r="C15" s="6" t="s">
        <v>64</v>
      </c>
      <c r="D15" s="6">
        <v>150</v>
      </c>
      <c r="E15" s="6">
        <v>15</v>
      </c>
      <c r="F15" s="6" t="s">
        <v>26</v>
      </c>
    </row>
    <row r="16" spans="1:6">
      <c r="A16" s="5" t="s">
        <v>65</v>
      </c>
      <c r="B16" s="5" t="s">
        <v>43</v>
      </c>
      <c r="C16" s="5" t="s">
        <v>66</v>
      </c>
      <c r="D16" s="5">
        <v>250</v>
      </c>
      <c r="E16" s="5">
        <v>20</v>
      </c>
      <c r="F16" s="5" t="s">
        <v>26</v>
      </c>
    </row>
    <row r="17" spans="1:6">
      <c r="A17" s="6" t="s">
        <v>67</v>
      </c>
      <c r="B17" s="6" t="s">
        <v>68</v>
      </c>
      <c r="C17" s="6" t="s">
        <v>69</v>
      </c>
      <c r="D17" s="6">
        <v>50</v>
      </c>
      <c r="E17" s="6">
        <v>35</v>
      </c>
      <c r="F17" s="6" t="s">
        <v>70</v>
      </c>
    </row>
    <row r="18" spans="1:6">
      <c r="A18" s="5" t="s">
        <v>71</v>
      </c>
      <c r="B18" s="5" t="s">
        <v>63</v>
      </c>
      <c r="C18" s="5" t="s">
        <v>72</v>
      </c>
      <c r="D18" s="5">
        <v>160</v>
      </c>
      <c r="E18" s="5">
        <v>15</v>
      </c>
      <c r="F18" s="5" t="s">
        <v>26</v>
      </c>
    </row>
    <row r="19" spans="1:6">
      <c r="A19" s="6" t="s">
        <v>73</v>
      </c>
      <c r="B19" s="6" t="s">
        <v>24</v>
      </c>
      <c r="C19" s="6" t="s">
        <v>74</v>
      </c>
      <c r="D19" s="6">
        <v>980</v>
      </c>
      <c r="E19" s="6">
        <v>10</v>
      </c>
      <c r="F19" s="6" t="s">
        <v>26</v>
      </c>
    </row>
    <row r="20" spans="1:6">
      <c r="A20" s="5" t="s">
        <v>75</v>
      </c>
      <c r="B20" s="5" t="s">
        <v>76</v>
      </c>
      <c r="C20" s="5" t="s">
        <v>77</v>
      </c>
      <c r="D20" s="5">
        <v>150</v>
      </c>
      <c r="E20" s="5">
        <v>15</v>
      </c>
      <c r="F20" s="5" t="s">
        <v>30</v>
      </c>
    </row>
    <row r="21" spans="1:6">
      <c r="A21" s="6" t="s">
        <v>78</v>
      </c>
      <c r="B21" s="6" t="s">
        <v>79</v>
      </c>
      <c r="C21" s="6" t="s">
        <v>80</v>
      </c>
      <c r="D21" s="6">
        <v>200</v>
      </c>
      <c r="E21" s="6">
        <v>10</v>
      </c>
      <c r="F21" s="6" t="s">
        <v>41</v>
      </c>
    </row>
    <row r="22" spans="1:6">
      <c r="A22" s="5" t="s">
        <v>81</v>
      </c>
      <c r="B22" s="5" t="s">
        <v>82</v>
      </c>
      <c r="C22" s="5" t="s">
        <v>83</v>
      </c>
      <c r="D22" s="5">
        <v>700</v>
      </c>
      <c r="E22" s="5">
        <v>50</v>
      </c>
      <c r="F22" s="5" t="s">
        <v>26</v>
      </c>
    </row>
    <row r="23" spans="1:6">
      <c r="A23" s="6" t="s">
        <v>84</v>
      </c>
      <c r="B23" s="6" t="s">
        <v>85</v>
      </c>
      <c r="C23" s="6" t="s">
        <v>86</v>
      </c>
      <c r="D23" s="6">
        <v>80</v>
      </c>
      <c r="E23" s="6">
        <v>20</v>
      </c>
      <c r="F23" s="6" t="s">
        <v>34</v>
      </c>
    </row>
    <row r="24" spans="1:6">
      <c r="A24" s="5" t="s">
        <v>87</v>
      </c>
      <c r="B24" s="5" t="s">
        <v>88</v>
      </c>
      <c r="C24" s="5" t="s">
        <v>89</v>
      </c>
      <c r="D24" s="5">
        <v>150</v>
      </c>
      <c r="E24" s="5">
        <v>30</v>
      </c>
      <c r="F24" s="5" t="s">
        <v>26</v>
      </c>
    </row>
    <row r="25" spans="1:6">
      <c r="A25" s="6" t="s">
        <v>67</v>
      </c>
      <c r="B25" s="6" t="s">
        <v>68</v>
      </c>
      <c r="C25" s="6" t="s">
        <v>69</v>
      </c>
      <c r="D25" s="6">
        <v>50</v>
      </c>
      <c r="E25" s="6">
        <v>35</v>
      </c>
      <c r="F25" s="6" t="s">
        <v>70</v>
      </c>
    </row>
    <row r="26" spans="1:6">
      <c r="A26" s="5" t="s">
        <v>90</v>
      </c>
      <c r="B26" s="5" t="s">
        <v>36</v>
      </c>
      <c r="C26" s="5" t="s">
        <v>91</v>
      </c>
      <c r="D26" s="5">
        <v>800</v>
      </c>
      <c r="E26" s="5">
        <v>45</v>
      </c>
      <c r="F26" s="5" t="s">
        <v>26</v>
      </c>
    </row>
    <row r="27" spans="1:6">
      <c r="A27" s="6" t="s">
        <v>92</v>
      </c>
      <c r="B27" s="6" t="s">
        <v>76</v>
      </c>
      <c r="C27" s="6" t="s">
        <v>93</v>
      </c>
      <c r="D27" s="6">
        <v>130</v>
      </c>
      <c r="E27" s="6">
        <v>25</v>
      </c>
      <c r="F27" s="6" t="s">
        <v>30</v>
      </c>
    </row>
    <row r="28" spans="1:6">
      <c r="A28" s="5" t="s">
        <v>94</v>
      </c>
      <c r="B28" s="5" t="s">
        <v>49</v>
      </c>
      <c r="C28" s="5" t="s">
        <v>95</v>
      </c>
      <c r="D28" s="5">
        <v>400</v>
      </c>
      <c r="E28" s="5">
        <v>40</v>
      </c>
      <c r="F28" s="5" t="s">
        <v>34</v>
      </c>
    </row>
    <row r="29" spans="1:6">
      <c r="A29" s="6" t="s">
        <v>65</v>
      </c>
      <c r="B29" s="6" t="s">
        <v>43</v>
      </c>
      <c r="C29" s="6" t="s">
        <v>66</v>
      </c>
      <c r="D29" s="6">
        <v>230</v>
      </c>
      <c r="E29" s="6">
        <v>20</v>
      </c>
      <c r="F29" s="6" t="s">
        <v>26</v>
      </c>
    </row>
    <row r="30" spans="1:6">
      <c r="A30" s="5" t="s">
        <v>96</v>
      </c>
      <c r="B30" s="5" t="s">
        <v>97</v>
      </c>
      <c r="C30" s="5" t="s">
        <v>98</v>
      </c>
      <c r="D30" s="5">
        <v>60</v>
      </c>
      <c r="E30" s="5">
        <v>30</v>
      </c>
      <c r="F30" s="5" t="s">
        <v>30</v>
      </c>
    </row>
    <row r="31" spans="1:6">
      <c r="A31" s="6" t="s">
        <v>99</v>
      </c>
      <c r="B31" s="6" t="s">
        <v>100</v>
      </c>
      <c r="C31" s="6" t="s">
        <v>101</v>
      </c>
      <c r="D31" s="6">
        <v>40</v>
      </c>
      <c r="E31" s="6">
        <v>10</v>
      </c>
      <c r="F31" s="6" t="s">
        <v>34</v>
      </c>
    </row>
    <row r="32" spans="1:6">
      <c r="A32" s="5" t="s">
        <v>102</v>
      </c>
      <c r="B32" s="5" t="s">
        <v>88</v>
      </c>
      <c r="C32" s="5" t="s">
        <v>103</v>
      </c>
      <c r="D32" s="5">
        <v>130</v>
      </c>
      <c r="E32" s="5">
        <v>5</v>
      </c>
      <c r="F32" s="5" t="s">
        <v>26</v>
      </c>
    </row>
    <row r="33" spans="1:6">
      <c r="A33" s="6" t="s">
        <v>104</v>
      </c>
      <c r="B33" s="6" t="s">
        <v>105</v>
      </c>
      <c r="C33" s="6" t="s">
        <v>106</v>
      </c>
      <c r="D33" s="6">
        <v>50</v>
      </c>
      <c r="E33" s="6">
        <v>50</v>
      </c>
      <c r="F33" s="6" t="s">
        <v>30</v>
      </c>
    </row>
    <row r="34" spans="1:6">
      <c r="A34" s="5" t="s">
        <v>57</v>
      </c>
      <c r="B34" s="5" t="s">
        <v>24</v>
      </c>
      <c r="C34" s="5" t="s">
        <v>58</v>
      </c>
      <c r="D34" s="5">
        <v>950</v>
      </c>
      <c r="E34" s="5">
        <v>25</v>
      </c>
      <c r="F34" s="5" t="s">
        <v>26</v>
      </c>
    </row>
    <row r="35" spans="1:6">
      <c r="A35" s="6" t="s">
        <v>107</v>
      </c>
      <c r="B35" s="6" t="s">
        <v>108</v>
      </c>
      <c r="C35" s="6" t="s">
        <v>109</v>
      </c>
      <c r="D35" s="6">
        <v>100</v>
      </c>
      <c r="E35" s="6">
        <v>20</v>
      </c>
      <c r="F35" s="6" t="s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2403E-D655-4EE6-9D83-5911BF049B5D}">
  <dimension ref="A1:M35"/>
  <sheetViews>
    <sheetView tabSelected="1" workbookViewId="0">
      <selection activeCell="N30" sqref="N30"/>
    </sheetView>
  </sheetViews>
  <sheetFormatPr defaultRowHeight="15"/>
  <cols>
    <col min="1" max="1" width="11.140625" bestFit="1" customWidth="1"/>
    <col min="2" max="2" width="14.140625" bestFit="1" customWidth="1"/>
    <col min="3" max="3" width="12.140625" bestFit="1" customWidth="1"/>
    <col min="4" max="4" width="8.42578125" bestFit="1" customWidth="1"/>
    <col min="5" max="5" width="13.5703125" bestFit="1" customWidth="1"/>
    <col min="7" max="7" width="11.140625" bestFit="1" customWidth="1"/>
    <col min="10" max="10" width="6.7109375" bestFit="1" customWidth="1"/>
    <col min="12" max="12" width="32.7109375" bestFit="1" customWidth="1"/>
    <col min="14" max="14" width="32.7109375" bestFit="1" customWidth="1"/>
  </cols>
  <sheetData>
    <row r="1" spans="1:13">
      <c r="A1" s="4" t="s">
        <v>17</v>
      </c>
      <c r="B1" s="4" t="s">
        <v>18</v>
      </c>
      <c r="C1" s="4" t="s">
        <v>19</v>
      </c>
      <c r="D1" s="4" t="s">
        <v>20</v>
      </c>
      <c r="E1" s="4" t="s">
        <v>110</v>
      </c>
      <c r="F1" s="4" t="s">
        <v>21</v>
      </c>
      <c r="G1" s="4" t="s">
        <v>22</v>
      </c>
      <c r="H1" s="4" t="s">
        <v>111</v>
      </c>
      <c r="I1" s="4" t="s">
        <v>112</v>
      </c>
      <c r="J1" s="4" t="s">
        <v>113</v>
      </c>
    </row>
    <row r="2" spans="1:13">
      <c r="A2" s="5" t="s">
        <v>23</v>
      </c>
      <c r="B2" s="5" t="s">
        <v>24</v>
      </c>
      <c r="C2" s="5" t="s">
        <v>25</v>
      </c>
      <c r="D2" s="5">
        <v>1000</v>
      </c>
      <c r="E2" s="5" t="str">
        <f>IF(D2&gt;500,"High Price","Standard Price")</f>
        <v>High Price</v>
      </c>
      <c r="F2" s="5">
        <v>30</v>
      </c>
      <c r="G2" s="5" t="s">
        <v>26</v>
      </c>
      <c r="H2" s="5" t="str" cm="1">
        <f t="array" ref="H2:H35">LEFT(A2:A35,2)</f>
        <v>28</v>
      </c>
      <c r="I2" s="5" t="str" cm="1">
        <f t="array" ref="I2:I35">RIGHT(A2:A35,2)</f>
        <v>US</v>
      </c>
      <c r="J2" s="5" t="str" cm="1">
        <f t="array" ref="J2:J35">MID(A2:A35,4,3)</f>
        <v>JAN</v>
      </c>
      <c r="L2" s="11" t="s">
        <v>114</v>
      </c>
      <c r="M2" s="12"/>
    </row>
    <row r="3" spans="1:13">
      <c r="A3" s="6" t="s">
        <v>27</v>
      </c>
      <c r="B3" s="6" t="s">
        <v>28</v>
      </c>
      <c r="C3" s="6" t="s">
        <v>29</v>
      </c>
      <c r="D3" s="6">
        <v>80</v>
      </c>
      <c r="E3" s="6" t="str">
        <f t="shared" ref="E3:E35" si="0">IF(D3&gt;500,"High Price","Standard Price")</f>
        <v>Standard Price</v>
      </c>
      <c r="F3" s="6">
        <v>15</v>
      </c>
      <c r="G3" s="6" t="s">
        <v>30</v>
      </c>
      <c r="H3" s="6" t="str">
        <v>15</v>
      </c>
      <c r="I3" s="6" t="str">
        <v>US</v>
      </c>
      <c r="J3" s="6" t="str">
        <v>FEB</v>
      </c>
      <c r="L3" s="13" t="s">
        <v>115</v>
      </c>
      <c r="M3" s="14"/>
    </row>
    <row r="4" spans="1:13">
      <c r="A4" s="5" t="s">
        <v>31</v>
      </c>
      <c r="B4" s="5" t="s">
        <v>32</v>
      </c>
      <c r="C4" s="5" t="s">
        <v>33</v>
      </c>
      <c r="D4" s="5">
        <v>130</v>
      </c>
      <c r="E4" s="5" t="str">
        <f t="shared" si="0"/>
        <v>Standard Price</v>
      </c>
      <c r="F4" s="5">
        <v>40</v>
      </c>
      <c r="G4" s="5" t="s">
        <v>34</v>
      </c>
      <c r="H4" s="5" t="str">
        <v>03</v>
      </c>
      <c r="I4" s="5" t="str">
        <v>US</v>
      </c>
      <c r="J4" s="5" t="str">
        <v>MAR</v>
      </c>
      <c r="L4" s="9" t="s">
        <v>116</v>
      </c>
      <c r="M4" s="7">
        <f>SUM(D2:D35)</f>
        <v>10100</v>
      </c>
    </row>
    <row r="5" spans="1:13">
      <c r="A5" s="6" t="s">
        <v>35</v>
      </c>
      <c r="B5" s="6" t="s">
        <v>36</v>
      </c>
      <c r="C5" s="6" t="s">
        <v>37</v>
      </c>
      <c r="D5" s="6">
        <v>900</v>
      </c>
      <c r="E5" s="6" t="str">
        <f t="shared" si="0"/>
        <v>High Price</v>
      </c>
      <c r="F5" s="6">
        <v>25</v>
      </c>
      <c r="G5" s="6" t="s">
        <v>26</v>
      </c>
      <c r="H5" s="6" t="str">
        <v>11</v>
      </c>
      <c r="I5" s="6" t="str">
        <v>US</v>
      </c>
      <c r="J5" s="6" t="str">
        <v>APR</v>
      </c>
      <c r="L5" s="9" t="s">
        <v>117</v>
      </c>
      <c r="M5" s="7">
        <f>COUNTA(B2:B35)</f>
        <v>34</v>
      </c>
    </row>
    <row r="6" spans="1:13">
      <c r="A6" s="5" t="s">
        <v>38</v>
      </c>
      <c r="B6" s="5" t="s">
        <v>39</v>
      </c>
      <c r="C6" s="5" t="s">
        <v>40</v>
      </c>
      <c r="D6" s="5">
        <v>70</v>
      </c>
      <c r="E6" s="5" t="str">
        <f t="shared" si="0"/>
        <v>Standard Price</v>
      </c>
      <c r="F6" s="5">
        <v>20</v>
      </c>
      <c r="G6" s="5" t="s">
        <v>41</v>
      </c>
      <c r="H6" s="5" t="str">
        <v>22</v>
      </c>
      <c r="I6" s="5" t="str">
        <v>US</v>
      </c>
      <c r="J6" s="5" t="str">
        <v>MAY</v>
      </c>
      <c r="L6" s="10" t="s">
        <v>118</v>
      </c>
      <c r="M6" s="8">
        <f>AVERAGE(D2:D35)</f>
        <v>297.05882352941177</v>
      </c>
    </row>
    <row r="7" spans="1:13">
      <c r="A7" s="6" t="s">
        <v>42</v>
      </c>
      <c r="B7" s="6" t="s">
        <v>43</v>
      </c>
      <c r="C7" s="6" t="s">
        <v>44</v>
      </c>
      <c r="D7" s="6">
        <v>200</v>
      </c>
      <c r="E7" s="6" t="str">
        <f t="shared" si="0"/>
        <v>Standard Price</v>
      </c>
      <c r="F7" s="6">
        <v>45</v>
      </c>
      <c r="G7" s="6" t="s">
        <v>26</v>
      </c>
      <c r="H7" s="6" t="str">
        <v>07</v>
      </c>
      <c r="I7" s="6" t="str">
        <v>UK</v>
      </c>
      <c r="J7" s="6" t="str">
        <v>JUN</v>
      </c>
    </row>
    <row r="8" spans="1:13">
      <c r="A8" s="5" t="s">
        <v>45</v>
      </c>
      <c r="B8" s="5" t="s">
        <v>46</v>
      </c>
      <c r="C8" s="5" t="s">
        <v>47</v>
      </c>
      <c r="D8" s="5">
        <v>30</v>
      </c>
      <c r="E8" s="5" t="str">
        <f t="shared" si="0"/>
        <v>Standard Price</v>
      </c>
      <c r="F8" s="5">
        <v>5</v>
      </c>
      <c r="G8" s="5" t="s">
        <v>30</v>
      </c>
      <c r="H8" s="5" t="str">
        <v>19</v>
      </c>
      <c r="I8" s="5" t="str">
        <v>UK</v>
      </c>
      <c r="J8" s="5" t="str">
        <v>JUL</v>
      </c>
      <c r="L8" s="11" t="s">
        <v>119</v>
      </c>
      <c r="M8" s="12"/>
    </row>
    <row r="9" spans="1:13">
      <c r="A9" s="6" t="s">
        <v>48</v>
      </c>
      <c r="B9" s="6" t="s">
        <v>49</v>
      </c>
      <c r="C9" s="6" t="s">
        <v>50</v>
      </c>
      <c r="D9" s="6">
        <v>90</v>
      </c>
      <c r="E9" s="6" t="str">
        <f t="shared" si="0"/>
        <v>Standard Price</v>
      </c>
      <c r="F9" s="6">
        <v>35</v>
      </c>
      <c r="G9" s="6" t="s">
        <v>34</v>
      </c>
      <c r="H9" s="6" t="str">
        <v>23</v>
      </c>
      <c r="I9" s="6" t="str">
        <v>UK</v>
      </c>
      <c r="J9" s="6" t="str">
        <v>AUG</v>
      </c>
      <c r="L9" s="13" t="s">
        <v>120</v>
      </c>
      <c r="M9" s="14"/>
    </row>
    <row r="10" spans="1:13">
      <c r="A10" s="5" t="s">
        <v>51</v>
      </c>
      <c r="B10" s="5" t="s">
        <v>52</v>
      </c>
      <c r="C10" s="5" t="s">
        <v>53</v>
      </c>
      <c r="D10" s="5">
        <v>500</v>
      </c>
      <c r="E10" s="5" t="str">
        <f t="shared" si="0"/>
        <v>Standard Price</v>
      </c>
      <c r="F10" s="5">
        <v>50</v>
      </c>
      <c r="G10" s="5" t="s">
        <v>26</v>
      </c>
      <c r="H10" s="5" t="str">
        <v>05</v>
      </c>
      <c r="I10" s="5" t="str">
        <v>UK</v>
      </c>
      <c r="J10" s="5" t="str">
        <v>SEP</v>
      </c>
      <c r="L10" s="9" t="s">
        <v>121</v>
      </c>
      <c r="M10" s="7">
        <f>MIN(D2:D35)</f>
        <v>30</v>
      </c>
    </row>
    <row r="11" spans="1:13">
      <c r="A11" s="6" t="s">
        <v>54</v>
      </c>
      <c r="B11" s="6" t="s">
        <v>55</v>
      </c>
      <c r="C11" s="6" t="s">
        <v>56</v>
      </c>
      <c r="D11" s="6">
        <v>130</v>
      </c>
      <c r="E11" s="6" t="str">
        <f t="shared" si="0"/>
        <v>Standard Price</v>
      </c>
      <c r="F11" s="6">
        <v>10</v>
      </c>
      <c r="G11" s="6" t="s">
        <v>41</v>
      </c>
      <c r="H11" s="6" t="str">
        <v>14</v>
      </c>
      <c r="I11" s="6" t="str">
        <v>UK</v>
      </c>
      <c r="J11" s="6" t="str">
        <v>OCT</v>
      </c>
      <c r="L11" s="10" t="s">
        <v>122</v>
      </c>
      <c r="M11" s="8">
        <f>MAX(D2:D35)</f>
        <v>1000</v>
      </c>
    </row>
    <row r="12" spans="1:13">
      <c r="A12" s="5" t="s">
        <v>57</v>
      </c>
      <c r="B12" s="5" t="s">
        <v>24</v>
      </c>
      <c r="C12" s="5" t="s">
        <v>58</v>
      </c>
      <c r="D12" s="5">
        <v>950</v>
      </c>
      <c r="E12" s="5" t="str">
        <f t="shared" si="0"/>
        <v>High Price</v>
      </c>
      <c r="F12" s="5">
        <v>25</v>
      </c>
      <c r="G12" s="5" t="s">
        <v>26</v>
      </c>
      <c r="H12" s="5" t="str">
        <v>17</v>
      </c>
      <c r="I12" s="5" t="str">
        <v>IN</v>
      </c>
      <c r="J12" s="5" t="str">
        <v>JUN</v>
      </c>
    </row>
    <row r="13" spans="1:13">
      <c r="A13" s="6" t="s">
        <v>59</v>
      </c>
      <c r="B13" s="6" t="s">
        <v>28</v>
      </c>
      <c r="C13" s="6" t="s">
        <v>47</v>
      </c>
      <c r="D13" s="6">
        <v>90</v>
      </c>
      <c r="E13" s="6" t="str">
        <f t="shared" si="0"/>
        <v>Standard Price</v>
      </c>
      <c r="F13" s="6">
        <v>40</v>
      </c>
      <c r="G13" s="6" t="s">
        <v>30</v>
      </c>
      <c r="H13" s="6" t="str">
        <v>25</v>
      </c>
      <c r="I13" s="6" t="str">
        <v>AU</v>
      </c>
      <c r="J13" s="6" t="str">
        <v>NOV</v>
      </c>
      <c r="L13" s="11" t="s">
        <v>123</v>
      </c>
      <c r="M13" s="12"/>
    </row>
    <row r="14" spans="1:13">
      <c r="A14" s="5" t="s">
        <v>60</v>
      </c>
      <c r="B14" s="5" t="s">
        <v>32</v>
      </c>
      <c r="C14" s="5" t="s">
        <v>61</v>
      </c>
      <c r="D14" s="5">
        <v>120</v>
      </c>
      <c r="E14" s="5" t="str">
        <f t="shared" si="0"/>
        <v>Standard Price</v>
      </c>
      <c r="F14" s="5">
        <v>35</v>
      </c>
      <c r="G14" s="5" t="s">
        <v>34</v>
      </c>
      <c r="H14" s="5" t="str">
        <v>08</v>
      </c>
      <c r="I14" s="5" t="str">
        <v>DE</v>
      </c>
      <c r="J14" s="5" t="str">
        <v>DEC</v>
      </c>
      <c r="L14" s="15" t="s">
        <v>124</v>
      </c>
      <c r="M14" s="16"/>
    </row>
    <row r="15" spans="1:13">
      <c r="A15" s="6" t="s">
        <v>62</v>
      </c>
      <c r="B15" s="6" t="s">
        <v>63</v>
      </c>
      <c r="C15" s="6" t="s">
        <v>64</v>
      </c>
      <c r="D15" s="6">
        <v>150</v>
      </c>
      <c r="E15" s="6" t="str">
        <f t="shared" si="0"/>
        <v>Standard Price</v>
      </c>
      <c r="F15" s="6">
        <v>15</v>
      </c>
      <c r="G15" s="6" t="s">
        <v>26</v>
      </c>
      <c r="H15" s="6" t="str">
        <v>18</v>
      </c>
      <c r="I15" s="6" t="str">
        <v>CA</v>
      </c>
      <c r="J15" s="6" t="str">
        <v>FEB</v>
      </c>
      <c r="L15" s="19" t="s">
        <v>125</v>
      </c>
      <c r="M15" s="20"/>
    </row>
    <row r="16" spans="1:13">
      <c r="A16" s="5" t="s">
        <v>65</v>
      </c>
      <c r="B16" s="5" t="s">
        <v>43</v>
      </c>
      <c r="C16" s="5" t="s">
        <v>66</v>
      </c>
      <c r="D16" s="5">
        <v>250</v>
      </c>
      <c r="E16" s="5" t="str">
        <f t="shared" si="0"/>
        <v>Standard Price</v>
      </c>
      <c r="F16" s="5">
        <v>20</v>
      </c>
      <c r="G16" s="5" t="s">
        <v>26</v>
      </c>
      <c r="H16" s="5" t="str">
        <v>16</v>
      </c>
      <c r="I16" s="5" t="str">
        <v>ES</v>
      </c>
      <c r="J16" s="5" t="str">
        <v>APR</v>
      </c>
    </row>
    <row r="17" spans="1:13">
      <c r="A17" s="6" t="s">
        <v>67</v>
      </c>
      <c r="B17" s="6" t="s">
        <v>68</v>
      </c>
      <c r="C17" s="6" t="s">
        <v>69</v>
      </c>
      <c r="D17" s="6">
        <v>50</v>
      </c>
      <c r="E17" s="6" t="str">
        <f t="shared" si="0"/>
        <v>Standard Price</v>
      </c>
      <c r="F17" s="6">
        <v>35</v>
      </c>
      <c r="G17" s="6" t="s">
        <v>70</v>
      </c>
      <c r="H17" s="6" t="str">
        <v>21</v>
      </c>
      <c r="I17" s="6" t="str">
        <v>CA</v>
      </c>
      <c r="J17" s="6" t="str">
        <v>AUG</v>
      </c>
      <c r="L17" s="11" t="s">
        <v>126</v>
      </c>
      <c r="M17" s="12"/>
    </row>
    <row r="18" spans="1:13">
      <c r="A18" s="5" t="s">
        <v>71</v>
      </c>
      <c r="B18" s="5" t="s">
        <v>63</v>
      </c>
      <c r="C18" s="5" t="s">
        <v>72</v>
      </c>
      <c r="D18" s="5">
        <v>160</v>
      </c>
      <c r="E18" s="5" t="str">
        <f t="shared" si="0"/>
        <v>Standard Price</v>
      </c>
      <c r="F18" s="5">
        <v>15</v>
      </c>
      <c r="G18" s="5" t="s">
        <v>26</v>
      </c>
      <c r="H18" s="5" t="str">
        <v>20</v>
      </c>
      <c r="I18" s="5" t="str">
        <v>CN</v>
      </c>
      <c r="J18" s="5" t="str">
        <v>AUG</v>
      </c>
      <c r="L18" s="17" t="s">
        <v>127</v>
      </c>
      <c r="M18" s="18"/>
    </row>
    <row r="19" spans="1:13">
      <c r="A19" s="6" t="s">
        <v>73</v>
      </c>
      <c r="B19" s="6" t="s">
        <v>24</v>
      </c>
      <c r="C19" s="6" t="s">
        <v>74</v>
      </c>
      <c r="D19" s="6">
        <v>980</v>
      </c>
      <c r="E19" s="6" t="str">
        <f t="shared" si="0"/>
        <v>High Price</v>
      </c>
      <c r="F19" s="6">
        <v>10</v>
      </c>
      <c r="G19" s="6" t="s">
        <v>26</v>
      </c>
      <c r="H19" s="6" t="str">
        <v>27</v>
      </c>
      <c r="I19" s="6" t="str">
        <v>IT</v>
      </c>
      <c r="J19" s="6" t="str">
        <v>JAN</v>
      </c>
      <c r="L19" s="9" t="s">
        <v>128</v>
      </c>
      <c r="M19" s="7">
        <f>SUMIF(G2:G35,G2,D2:D35)</f>
        <v>8050</v>
      </c>
    </row>
    <row r="20" spans="1:13">
      <c r="A20" s="5" t="s">
        <v>75</v>
      </c>
      <c r="B20" s="5" t="s">
        <v>76</v>
      </c>
      <c r="C20" s="5" t="s">
        <v>77</v>
      </c>
      <c r="D20" s="5">
        <v>150</v>
      </c>
      <c r="E20" s="5" t="str">
        <f t="shared" si="0"/>
        <v>Standard Price</v>
      </c>
      <c r="F20" s="5">
        <v>15</v>
      </c>
      <c r="G20" s="5" t="s">
        <v>30</v>
      </c>
      <c r="H20" s="5" t="str">
        <v>01</v>
      </c>
      <c r="I20" s="5" t="str">
        <v>UK</v>
      </c>
      <c r="J20" s="5" t="str">
        <v>MAR</v>
      </c>
      <c r="L20" s="10" t="s">
        <v>129</v>
      </c>
      <c r="M20" s="8">
        <f>COUNTIF(D2:D35,"&lt;100")</f>
        <v>11</v>
      </c>
    </row>
    <row r="21" spans="1:13">
      <c r="A21" s="6" t="s">
        <v>78</v>
      </c>
      <c r="B21" s="6" t="s">
        <v>79</v>
      </c>
      <c r="C21" s="6" t="s">
        <v>80</v>
      </c>
      <c r="D21" s="6">
        <v>200</v>
      </c>
      <c r="E21" s="6" t="str">
        <f t="shared" si="0"/>
        <v>Standard Price</v>
      </c>
      <c r="F21" s="6">
        <v>10</v>
      </c>
      <c r="G21" s="6" t="s">
        <v>41</v>
      </c>
      <c r="H21" s="6" t="str">
        <v>14</v>
      </c>
      <c r="I21" s="6" t="str">
        <v>US</v>
      </c>
      <c r="J21" s="6" t="str">
        <v>AUG</v>
      </c>
    </row>
    <row r="22" spans="1:13">
      <c r="A22" s="5" t="s">
        <v>81</v>
      </c>
      <c r="B22" s="5" t="s">
        <v>82</v>
      </c>
      <c r="C22" s="5" t="s">
        <v>83</v>
      </c>
      <c r="D22" s="5">
        <v>700</v>
      </c>
      <c r="E22" s="5" t="str">
        <f t="shared" si="0"/>
        <v>High Price</v>
      </c>
      <c r="F22" s="5">
        <v>50</v>
      </c>
      <c r="G22" s="5" t="s">
        <v>26</v>
      </c>
      <c r="H22" s="5" t="str">
        <v>14</v>
      </c>
      <c r="I22" s="5" t="str">
        <v>RU</v>
      </c>
      <c r="J22" s="5" t="str">
        <v>MAY</v>
      </c>
      <c r="L22" s="11" t="s">
        <v>130</v>
      </c>
      <c r="M22" s="12"/>
    </row>
    <row r="23" spans="1:13">
      <c r="A23" s="6" t="s">
        <v>84</v>
      </c>
      <c r="B23" s="6" t="s">
        <v>85</v>
      </c>
      <c r="C23" s="6" t="s">
        <v>86</v>
      </c>
      <c r="D23" s="6">
        <v>80</v>
      </c>
      <c r="E23" s="6" t="str">
        <f t="shared" si="0"/>
        <v>Standard Price</v>
      </c>
      <c r="F23" s="6">
        <v>20</v>
      </c>
      <c r="G23" s="6" t="s">
        <v>34</v>
      </c>
      <c r="H23" s="6" t="str">
        <v>09</v>
      </c>
      <c r="I23" s="6" t="str">
        <v>CA</v>
      </c>
      <c r="J23" s="6" t="str">
        <v>JAN</v>
      </c>
      <c r="L23" s="15" t="s">
        <v>131</v>
      </c>
      <c r="M23" s="16"/>
    </row>
    <row r="24" spans="1:13">
      <c r="A24" s="5" t="s">
        <v>87</v>
      </c>
      <c r="B24" s="5" t="s">
        <v>88</v>
      </c>
      <c r="C24" s="5" t="s">
        <v>89</v>
      </c>
      <c r="D24" s="5">
        <v>150</v>
      </c>
      <c r="E24" s="5" t="str">
        <f t="shared" si="0"/>
        <v>Standard Price</v>
      </c>
      <c r="F24" s="5">
        <v>30</v>
      </c>
      <c r="G24" s="5" t="s">
        <v>26</v>
      </c>
      <c r="H24" s="5" t="str">
        <v>19</v>
      </c>
      <c r="I24" s="5" t="str">
        <v>BR</v>
      </c>
      <c r="J24" s="5" t="str">
        <v>JUL</v>
      </c>
      <c r="L24" s="21" t="s">
        <v>132</v>
      </c>
      <c r="M24" s="22"/>
    </row>
    <row r="25" spans="1:13">
      <c r="A25" s="6" t="s">
        <v>67</v>
      </c>
      <c r="B25" s="6" t="s">
        <v>68</v>
      </c>
      <c r="C25" s="6" t="s">
        <v>69</v>
      </c>
      <c r="D25" s="6">
        <v>50</v>
      </c>
      <c r="E25" s="6" t="str">
        <f t="shared" si="0"/>
        <v>Standard Price</v>
      </c>
      <c r="F25" s="6">
        <v>35</v>
      </c>
      <c r="G25" s="6" t="s">
        <v>70</v>
      </c>
      <c r="H25" s="6" t="str">
        <v>21</v>
      </c>
      <c r="I25" s="6" t="str">
        <v>CA</v>
      </c>
      <c r="J25" s="6" t="str">
        <v>AUG</v>
      </c>
    </row>
    <row r="26" spans="1:13">
      <c r="A26" s="5" t="s">
        <v>90</v>
      </c>
      <c r="B26" s="5" t="s">
        <v>36</v>
      </c>
      <c r="C26" s="5" t="s">
        <v>91</v>
      </c>
      <c r="D26" s="5">
        <v>800</v>
      </c>
      <c r="E26" s="5" t="str">
        <f t="shared" si="0"/>
        <v>High Price</v>
      </c>
      <c r="F26" s="5">
        <v>45</v>
      </c>
      <c r="G26" s="5" t="s">
        <v>26</v>
      </c>
      <c r="H26" s="5" t="str">
        <v>29</v>
      </c>
      <c r="I26" s="5" t="str">
        <v>CA</v>
      </c>
      <c r="J26" s="5" t="str">
        <v>SEP</v>
      </c>
    </row>
    <row r="27" spans="1:13">
      <c r="A27" s="6" t="s">
        <v>92</v>
      </c>
      <c r="B27" s="6" t="s">
        <v>76</v>
      </c>
      <c r="C27" s="6" t="s">
        <v>93</v>
      </c>
      <c r="D27" s="6">
        <v>130</v>
      </c>
      <c r="E27" s="6" t="str">
        <f t="shared" si="0"/>
        <v>Standard Price</v>
      </c>
      <c r="F27" s="6">
        <v>25</v>
      </c>
      <c r="G27" s="6" t="s">
        <v>30</v>
      </c>
      <c r="H27" s="6" t="str">
        <v>03</v>
      </c>
      <c r="I27" s="6" t="str">
        <v>CA</v>
      </c>
      <c r="J27" s="6" t="str">
        <v>JUN</v>
      </c>
    </row>
    <row r="28" spans="1:13">
      <c r="A28" s="5" t="s">
        <v>94</v>
      </c>
      <c r="B28" s="5" t="s">
        <v>49</v>
      </c>
      <c r="C28" s="5" t="s">
        <v>95</v>
      </c>
      <c r="D28" s="5">
        <v>400</v>
      </c>
      <c r="E28" s="5" t="str">
        <f t="shared" si="0"/>
        <v>Standard Price</v>
      </c>
      <c r="F28" s="5">
        <v>40</v>
      </c>
      <c r="G28" s="5" t="s">
        <v>34</v>
      </c>
      <c r="H28" s="5" t="str">
        <v>11</v>
      </c>
      <c r="I28" s="5" t="str">
        <v>CA</v>
      </c>
      <c r="J28" s="5" t="str">
        <v>JUL</v>
      </c>
    </row>
    <row r="29" spans="1:13">
      <c r="A29" s="6" t="s">
        <v>65</v>
      </c>
      <c r="B29" s="6" t="s">
        <v>43</v>
      </c>
      <c r="C29" s="6" t="s">
        <v>66</v>
      </c>
      <c r="D29" s="6">
        <v>230</v>
      </c>
      <c r="E29" s="6" t="str">
        <f t="shared" si="0"/>
        <v>Standard Price</v>
      </c>
      <c r="F29" s="6">
        <v>20</v>
      </c>
      <c r="G29" s="6" t="s">
        <v>26</v>
      </c>
      <c r="H29" s="6" t="str">
        <v>16</v>
      </c>
      <c r="I29" s="6" t="str">
        <v>ES</v>
      </c>
      <c r="J29" s="6" t="str">
        <v>APR</v>
      </c>
    </row>
    <row r="30" spans="1:13">
      <c r="A30" s="5" t="s">
        <v>96</v>
      </c>
      <c r="B30" s="5" t="s">
        <v>97</v>
      </c>
      <c r="C30" s="5" t="s">
        <v>98</v>
      </c>
      <c r="D30" s="5">
        <v>60</v>
      </c>
      <c r="E30" s="5" t="str">
        <f t="shared" si="0"/>
        <v>Standard Price</v>
      </c>
      <c r="F30" s="5">
        <v>30</v>
      </c>
      <c r="G30" s="5" t="s">
        <v>30</v>
      </c>
      <c r="H30" s="5" t="str">
        <v>07</v>
      </c>
      <c r="I30" s="5" t="str">
        <v>CA</v>
      </c>
      <c r="J30" s="5" t="str">
        <v>MAR</v>
      </c>
    </row>
    <row r="31" spans="1:13">
      <c r="A31" s="6" t="s">
        <v>99</v>
      </c>
      <c r="B31" s="6" t="s">
        <v>100</v>
      </c>
      <c r="C31" s="6" t="s">
        <v>101</v>
      </c>
      <c r="D31" s="6">
        <v>40</v>
      </c>
      <c r="E31" s="6" t="str">
        <f t="shared" si="0"/>
        <v>Standard Price</v>
      </c>
      <c r="F31" s="6">
        <v>10</v>
      </c>
      <c r="G31" s="6" t="s">
        <v>34</v>
      </c>
      <c r="H31" s="6" t="str">
        <v>13</v>
      </c>
      <c r="I31" s="6" t="str">
        <v>CA</v>
      </c>
      <c r="J31" s="6" t="str">
        <v>APR</v>
      </c>
    </row>
    <row r="32" spans="1:13">
      <c r="A32" s="5" t="s">
        <v>102</v>
      </c>
      <c r="B32" s="5" t="s">
        <v>88</v>
      </c>
      <c r="C32" s="5" t="s">
        <v>103</v>
      </c>
      <c r="D32" s="5">
        <v>130</v>
      </c>
      <c r="E32" s="5" t="str">
        <f t="shared" si="0"/>
        <v>Standard Price</v>
      </c>
      <c r="F32" s="5">
        <v>5</v>
      </c>
      <c r="G32" s="5" t="s">
        <v>26</v>
      </c>
      <c r="H32" s="5" t="str">
        <v>24</v>
      </c>
      <c r="I32" s="5" t="str">
        <v>CA</v>
      </c>
      <c r="J32" s="5" t="str">
        <v>MAY</v>
      </c>
    </row>
    <row r="33" spans="1:10">
      <c r="A33" s="6" t="s">
        <v>104</v>
      </c>
      <c r="B33" s="6" t="s">
        <v>105</v>
      </c>
      <c r="C33" s="6" t="s">
        <v>106</v>
      </c>
      <c r="D33" s="6">
        <v>50</v>
      </c>
      <c r="E33" s="6" t="str">
        <f t="shared" si="0"/>
        <v>Standard Price</v>
      </c>
      <c r="F33" s="6">
        <v>50</v>
      </c>
      <c r="G33" s="6" t="s">
        <v>30</v>
      </c>
      <c r="H33" s="6" t="str">
        <v>02</v>
      </c>
      <c r="I33" s="6" t="str">
        <v>CA</v>
      </c>
      <c r="J33" s="6" t="str">
        <v>DEC</v>
      </c>
    </row>
    <row r="34" spans="1:10">
      <c r="A34" s="5" t="s">
        <v>57</v>
      </c>
      <c r="B34" s="5" t="s">
        <v>24</v>
      </c>
      <c r="C34" s="5" t="s">
        <v>58</v>
      </c>
      <c r="D34" s="5">
        <v>950</v>
      </c>
      <c r="E34" s="5" t="str">
        <f t="shared" si="0"/>
        <v>High Price</v>
      </c>
      <c r="F34" s="5">
        <v>25</v>
      </c>
      <c r="G34" s="5" t="s">
        <v>26</v>
      </c>
      <c r="H34" s="5" t="str">
        <v>17</v>
      </c>
      <c r="I34" s="5" t="str">
        <v>IN</v>
      </c>
      <c r="J34" s="5" t="str">
        <v>JUN</v>
      </c>
    </row>
    <row r="35" spans="1:10">
      <c r="A35" s="6" t="s">
        <v>107</v>
      </c>
      <c r="B35" s="6" t="s">
        <v>108</v>
      </c>
      <c r="C35" s="6" t="s">
        <v>109</v>
      </c>
      <c r="D35" s="6">
        <v>100</v>
      </c>
      <c r="E35" s="6" t="str">
        <f t="shared" si="0"/>
        <v>Standard Price</v>
      </c>
      <c r="F35" s="6">
        <v>20</v>
      </c>
      <c r="G35" s="6" t="s">
        <v>70</v>
      </c>
      <c r="H35" s="6" t="str">
        <v>09</v>
      </c>
      <c r="I35" s="6" t="str">
        <v>FR</v>
      </c>
      <c r="J35" s="6" t="str">
        <v>JUL</v>
      </c>
    </row>
  </sheetData>
  <mergeCells count="12">
    <mergeCell ref="L23:M23"/>
    <mergeCell ref="L24:M24"/>
    <mergeCell ref="L22:M22"/>
    <mergeCell ref="L17:M17"/>
    <mergeCell ref="L3:M3"/>
    <mergeCell ref="L18:M18"/>
    <mergeCell ref="L15:M15"/>
    <mergeCell ref="L2:M2"/>
    <mergeCell ref="L8:M8"/>
    <mergeCell ref="L9:M9"/>
    <mergeCell ref="L13:M13"/>
    <mergeCell ref="L14:M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2026-10-27T18:56:51Z</dcterms:created>
  <dcterms:modified xsi:type="dcterms:W3CDTF">2026-10-29T09:50:05Z</dcterms:modified>
  <cp:category/>
  <cp:contentStatus/>
</cp:coreProperties>
</file>